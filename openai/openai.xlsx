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tmelo/Downloads/"/>
    </mc:Choice>
  </mc:AlternateContent>
  <xr:revisionPtr revIDLastSave="0" documentId="13_ncr:1_{A51C4122-6AEA-124F-89D9-C3CA0E1CA442}" xr6:coauthVersionLast="47" xr6:coauthVersionMax="47" xr10:uidLastSave="{00000000-0000-0000-0000-000000000000}"/>
  <bookViews>
    <workbookView xWindow="0" yWindow="780" windowWidth="34200" windowHeight="19860" xr2:uid="{E98834AE-7932-4C9F-B7EA-BA9CD1902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23" i="1" l="1"/>
  <c r="X23" i="1"/>
  <c r="W23" i="1"/>
  <c r="U23" i="1"/>
  <c r="V23" i="1"/>
  <c r="T2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3" i="1"/>
  <c r="U3" i="1"/>
</calcChain>
</file>

<file path=xl/sharedStrings.xml><?xml version="1.0" encoding="utf-8"?>
<sst xmlns="http://schemas.openxmlformats.org/spreadsheetml/2006/main" count="68" uniqueCount="67">
  <si>
    <t>UCID</t>
  </si>
  <si>
    <t># Use Cases</t>
  </si>
  <si>
    <t># Actors</t>
  </si>
  <si>
    <t># associations</t>
  </si>
  <si>
    <t>PlantUML File</t>
  </si>
  <si>
    <t>PlantUML PNG</t>
  </si>
  <si>
    <t>#TP Use Case</t>
  </si>
  <si>
    <t>#FN Use Case</t>
  </si>
  <si>
    <t>#FP Use case</t>
  </si>
  <si>
    <t>#TP Actors</t>
  </si>
  <si>
    <t>#FN Actors</t>
  </si>
  <si>
    <t>#FP Actors</t>
  </si>
  <si>
    <t>#TP Associations</t>
  </si>
  <si>
    <t>#FN Associations</t>
  </si>
  <si>
    <t>#FP Associations</t>
  </si>
  <si>
    <t>02.puml</t>
  </si>
  <si>
    <t>02.png</t>
  </si>
  <si>
    <t>03.puml</t>
  </si>
  <si>
    <t>03.png</t>
  </si>
  <si>
    <t>06.puml</t>
  </si>
  <si>
    <t>06.png</t>
  </si>
  <si>
    <t>07.puml</t>
  </si>
  <si>
    <t>07.png</t>
  </si>
  <si>
    <t>08.puml</t>
  </si>
  <si>
    <t>08.png</t>
  </si>
  <si>
    <t>09.puml</t>
  </si>
  <si>
    <t>09.png</t>
  </si>
  <si>
    <t>10.puml</t>
  </si>
  <si>
    <t>10.png</t>
  </si>
  <si>
    <t>11.puml</t>
  </si>
  <si>
    <t>11.png</t>
  </si>
  <si>
    <t>12.puml</t>
  </si>
  <si>
    <t>12.png</t>
  </si>
  <si>
    <t>14.puml</t>
  </si>
  <si>
    <t>14.png</t>
  </si>
  <si>
    <t>16.puml</t>
  </si>
  <si>
    <t>16.png</t>
  </si>
  <si>
    <t>17.puml</t>
  </si>
  <si>
    <t>17.png</t>
  </si>
  <si>
    <t>19.puml</t>
  </si>
  <si>
    <t>19.png</t>
  </si>
  <si>
    <t>20.puml</t>
  </si>
  <si>
    <t>20.png</t>
  </si>
  <si>
    <t>21.puml</t>
  </si>
  <si>
    <t>21.png</t>
  </si>
  <si>
    <t>22.puml</t>
  </si>
  <si>
    <t>22.png</t>
  </si>
  <si>
    <t>23.puml</t>
  </si>
  <si>
    <t>23.png</t>
  </si>
  <si>
    <t>27.puml</t>
  </si>
  <si>
    <t>27.png</t>
  </si>
  <si>
    <t>28.puml</t>
  </si>
  <si>
    <t>28.png</t>
  </si>
  <si>
    <t>ORIGINAL FILES</t>
  </si>
  <si>
    <t>COMPARING   AI   GENERATED   RESULTS   WITH   ORIGINAL</t>
  </si>
  <si>
    <t># dependency</t>
  </si>
  <si>
    <t>#TP Dependency</t>
  </si>
  <si>
    <t>#FN Dependency</t>
  </si>
  <si>
    <t>#FP Dependency</t>
  </si>
  <si>
    <t>TP</t>
  </si>
  <si>
    <t>FN</t>
  </si>
  <si>
    <t>FP</t>
  </si>
  <si>
    <t>Precision</t>
  </si>
  <si>
    <t>recall</t>
  </si>
  <si>
    <t>F1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</si>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</sst>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3676-BA5C-45DF-8E73-4B46FDF9ADA4}">
  <dimension ref="A1:AA23"/>
  <sheetViews>
    <sheetView tabSelected="1" topLeftCell="G1" workbookViewId="0">
      <selection activeCell="S23" sqref="S23"/>
    </sheetView>
  </sheetViews>
  <sheetFormatPr baseColWidth="10" defaultColWidth="12.5" defaultRowHeight="15" x14ac:dyDescent="0.2"/>
  <cols>
    <col min="1" max="1" width="28.33203125" style="3" customWidth="1"/>
    <col min="2" max="2" width="18.5" style="3" customWidth="1"/>
    <col min="3" max="3" width="12.5" style="3"/>
    <col min="4" max="4" width="14.83203125" style="3" customWidth="1"/>
    <col min="5" max="5" width="14.6640625" style="3" customWidth="1"/>
    <col min="6" max="6" width="17.1640625" style="3" customWidth="1"/>
    <col min="7" max="7" width="16.83203125" style="3" customWidth="1"/>
    <col min="8" max="8" width="17" style="3" customWidth="1"/>
    <col min="9" max="9" width="19.83203125" style="3" customWidth="1"/>
    <col min="10" max="10" width="17.1640625" style="3" customWidth="1"/>
    <col min="11" max="11" width="17.5" style="3" customWidth="1"/>
    <col min="12" max="13" width="14.6640625" style="3" customWidth="1"/>
    <col min="14" max="14" width="18.33203125" style="3" customWidth="1"/>
    <col min="15" max="15" width="19.1640625" style="3" customWidth="1"/>
    <col min="16" max="16" width="19" style="3" customWidth="1"/>
    <col min="17" max="17" width="18.6640625" style="3" customWidth="1"/>
    <col min="18" max="18" width="18" style="3" customWidth="1"/>
    <col min="19" max="19" width="20.1640625" style="3" customWidth="1"/>
    <col min="20" max="22" width="12.5" style="3"/>
    <col min="23" max="25" width="12.5" style="19"/>
    <col min="26" max="16384" width="12.5" style="3"/>
  </cols>
  <sheetData>
    <row r="1" spans="1:27" s="1" customFormat="1" ht="16" x14ac:dyDescent="0.2">
      <c r="A1" s="8"/>
      <c r="B1" s="12" t="s">
        <v>53</v>
      </c>
      <c r="C1" s="13"/>
      <c r="D1" s="13"/>
      <c r="E1" s="13"/>
      <c r="F1" s="13"/>
      <c r="G1" s="14"/>
      <c r="H1" s="15" t="s">
        <v>54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W1" s="17"/>
      <c r="X1" s="17"/>
      <c r="Y1" s="17"/>
    </row>
    <row r="2" spans="1:27" s="2" customFormat="1" ht="16" x14ac:dyDescent="0.2">
      <c r="A2" s="4" t="s">
        <v>0</v>
      </c>
      <c r="B2" s="6" t="s">
        <v>1</v>
      </c>
      <c r="C2" s="2" t="s">
        <v>2</v>
      </c>
      <c r="D2" s="2" t="s">
        <v>55</v>
      </c>
      <c r="E2" s="2" t="s">
        <v>3</v>
      </c>
      <c r="F2" s="2" t="s">
        <v>4</v>
      </c>
      <c r="G2" s="4" t="s">
        <v>5</v>
      </c>
      <c r="H2" s="6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56</v>
      </c>
      <c r="O2" s="2" t="s">
        <v>57</v>
      </c>
      <c r="P2" s="2" t="s">
        <v>58</v>
      </c>
      <c r="Q2" s="2" t="s">
        <v>12</v>
      </c>
      <c r="R2" s="2" t="s">
        <v>13</v>
      </c>
      <c r="S2" s="2" t="s">
        <v>14</v>
      </c>
      <c r="T2" s="2" t="s">
        <v>59</v>
      </c>
      <c r="U2" s="2" t="s">
        <v>60</v>
      </c>
      <c r="V2" s="2" t="s">
        <v>61</v>
      </c>
      <c r="W2" s="18" t="s">
        <v>62</v>
      </c>
      <c r="X2" s="18" t="s">
        <v>63</v>
      </c>
      <c r="Y2" s="18" t="s">
        <v>64</v>
      </c>
    </row>
    <row r="3" spans="1:27" x14ac:dyDescent="0.2">
      <c r="A3" s="5">
        <v>2</v>
      </c>
      <c r="B3" s="7">
        <v>5</v>
      </c>
      <c r="C3" s="3">
        <v>2</v>
      </c>
      <c r="D3" s="3">
        <v>2</v>
      </c>
      <c r="E3" s="3">
        <v>6</v>
      </c>
      <c r="F3" s="3" t="s">
        <v>15</v>
      </c>
      <c r="G3" s="5" t="s">
        <v>16</v>
      </c>
      <c r="H3" s="7">
        <v>5</v>
      </c>
      <c r="I3" s="3">
        <v>0</v>
      </c>
      <c r="J3" s="3">
        <v>0</v>
      </c>
      <c r="K3" s="3">
        <v>2</v>
      </c>
      <c r="L3" s="3">
        <v>0</v>
      </c>
      <c r="M3" s="3">
        <v>0</v>
      </c>
      <c r="N3" s="3">
        <v>0</v>
      </c>
      <c r="O3" s="3">
        <v>2</v>
      </c>
      <c r="P3" s="3">
        <v>2</v>
      </c>
      <c r="Q3" s="3">
        <v>6</v>
      </c>
      <c r="R3" s="3">
        <v>0</v>
      </c>
      <c r="S3" s="3">
        <v>1</v>
      </c>
      <c r="T3" s="3">
        <f>SUM(H3+K3+N3+Q3)</f>
        <v>13</v>
      </c>
      <c r="U3" s="3">
        <f>SUM(I3+L3+O3+R3)</f>
        <v>2</v>
      </c>
      <c r="V3" s="3">
        <f>J3+M3+P3+S3</f>
        <v>3</v>
      </c>
      <c r="W3" s="19">
        <f>T3/(V3+T3)</f>
        <v>0.8125</v>
      </c>
      <c r="X3" s="19">
        <f>T3/(T3+U3)</f>
        <v>0.8666666666666667</v>
      </c>
      <c r="Y3" s="19">
        <f>2*((X3*W3)/(X3+W3))</f>
        <v>0.83870967741935487</v>
      </c>
    </row>
    <row r="4" spans="1:27" x14ac:dyDescent="0.2">
      <c r="A4" s="5">
        <v>3</v>
      </c>
      <c r="B4" s="7">
        <v>6</v>
      </c>
      <c r="C4" s="3">
        <v>3</v>
      </c>
      <c r="D4" s="3">
        <v>0</v>
      </c>
      <c r="E4" s="3">
        <v>6</v>
      </c>
      <c r="F4" s="3" t="s">
        <v>17</v>
      </c>
      <c r="G4" s="5" t="s">
        <v>18</v>
      </c>
      <c r="H4" s="7">
        <v>6</v>
      </c>
      <c r="I4" s="3">
        <v>0</v>
      </c>
      <c r="J4" s="3">
        <v>0</v>
      </c>
      <c r="K4" s="3">
        <v>3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6</v>
      </c>
      <c r="R4" s="3">
        <v>0</v>
      </c>
      <c r="S4" s="3">
        <v>0</v>
      </c>
      <c r="T4" s="3">
        <f t="shared" ref="T4:T21" si="0">SUM(H4+K4+N4+Q4)</f>
        <v>15</v>
      </c>
      <c r="U4" s="3">
        <f t="shared" ref="U4:U21" si="1">SUM(I4+L4+O4+R4)</f>
        <v>0</v>
      </c>
      <c r="V4" s="3">
        <f t="shared" ref="V4:V21" si="2">J4+M4+P4+S4</f>
        <v>0</v>
      </c>
      <c r="W4" s="19">
        <f t="shared" ref="W4:W21" si="3">T4/(V4+T4)</f>
        <v>1</v>
      </c>
      <c r="X4" s="19">
        <f t="shared" ref="X4:X21" si="4">T4/(T4+U4)</f>
        <v>1</v>
      </c>
      <c r="Y4" s="19">
        <f t="shared" ref="Y4:Y23" si="5">2*((X4*W4)/(X4+W4))</f>
        <v>1</v>
      </c>
      <c r="Z4" s="3" t="s">
        <v>65</v>
      </c>
      <c r="AA4" s="3" t="s">
        <v>65</v>
      </c>
    </row>
    <row r="5" spans="1:27" x14ac:dyDescent="0.2">
      <c r="A5" s="5">
        <v>6</v>
      </c>
      <c r="B5" s="7">
        <v>8</v>
      </c>
      <c r="C5" s="3">
        <v>3</v>
      </c>
      <c r="D5" s="3">
        <v>7</v>
      </c>
      <c r="E5" s="3">
        <v>6</v>
      </c>
      <c r="F5" s="3" t="s">
        <v>19</v>
      </c>
      <c r="G5" s="5" t="s">
        <v>20</v>
      </c>
      <c r="H5" s="7">
        <v>8</v>
      </c>
      <c r="I5" s="3">
        <v>0</v>
      </c>
      <c r="J5" s="3">
        <v>0</v>
      </c>
      <c r="K5" s="3">
        <v>3</v>
      </c>
      <c r="L5" s="3">
        <v>0</v>
      </c>
      <c r="M5" s="3">
        <v>0</v>
      </c>
      <c r="N5" s="3">
        <v>7</v>
      </c>
      <c r="O5" s="3">
        <v>0</v>
      </c>
      <c r="P5" s="3">
        <v>0</v>
      </c>
      <c r="Q5" s="3">
        <v>6</v>
      </c>
      <c r="R5" s="3">
        <v>0</v>
      </c>
      <c r="S5" s="3">
        <v>0</v>
      </c>
      <c r="T5" s="3">
        <f t="shared" si="0"/>
        <v>24</v>
      </c>
      <c r="U5" s="3">
        <f t="shared" si="1"/>
        <v>0</v>
      </c>
      <c r="V5" s="3">
        <f t="shared" si="2"/>
        <v>0</v>
      </c>
      <c r="W5" s="19">
        <f t="shared" si="3"/>
        <v>1</v>
      </c>
      <c r="X5" s="19">
        <f t="shared" si="4"/>
        <v>1</v>
      </c>
      <c r="Y5" s="19">
        <f t="shared" si="5"/>
        <v>1</v>
      </c>
    </row>
    <row r="6" spans="1:27" x14ac:dyDescent="0.2">
      <c r="A6" s="5">
        <v>7</v>
      </c>
      <c r="B6" s="7">
        <v>6</v>
      </c>
      <c r="C6" s="3">
        <v>3</v>
      </c>
      <c r="D6" s="3">
        <v>0</v>
      </c>
      <c r="E6" s="3">
        <v>7</v>
      </c>
      <c r="F6" s="3" t="s">
        <v>21</v>
      </c>
      <c r="G6" s="5" t="s">
        <v>22</v>
      </c>
      <c r="H6" s="7">
        <v>6</v>
      </c>
      <c r="I6" s="3">
        <v>0</v>
      </c>
      <c r="J6" s="3">
        <v>0</v>
      </c>
      <c r="K6" s="3">
        <v>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7</v>
      </c>
      <c r="R6" s="3">
        <v>0</v>
      </c>
      <c r="S6" s="3">
        <v>0</v>
      </c>
      <c r="T6" s="3">
        <f t="shared" si="0"/>
        <v>16</v>
      </c>
      <c r="U6" s="3">
        <f t="shared" si="1"/>
        <v>0</v>
      </c>
      <c r="V6" s="3">
        <f t="shared" si="2"/>
        <v>0</v>
      </c>
      <c r="W6" s="19">
        <f t="shared" si="3"/>
        <v>1</v>
      </c>
      <c r="X6" s="19">
        <f t="shared" si="4"/>
        <v>1</v>
      </c>
      <c r="Y6" s="19">
        <f t="shared" si="5"/>
        <v>1</v>
      </c>
    </row>
    <row r="7" spans="1:27" x14ac:dyDescent="0.2">
      <c r="A7" s="5">
        <v>8</v>
      </c>
      <c r="B7" s="7">
        <v>9</v>
      </c>
      <c r="C7" s="3">
        <v>4</v>
      </c>
      <c r="D7" s="3">
        <v>4</v>
      </c>
      <c r="E7" s="3">
        <v>9</v>
      </c>
      <c r="F7" s="3" t="s">
        <v>23</v>
      </c>
      <c r="G7" s="5" t="s">
        <v>24</v>
      </c>
      <c r="H7" s="7">
        <v>9</v>
      </c>
      <c r="I7" s="3">
        <v>0</v>
      </c>
      <c r="J7" s="3">
        <v>0</v>
      </c>
      <c r="K7" s="3">
        <v>4</v>
      </c>
      <c r="L7" s="3">
        <v>0</v>
      </c>
      <c r="M7" s="3">
        <v>0</v>
      </c>
      <c r="N7" s="3">
        <v>3</v>
      </c>
      <c r="O7" s="3">
        <v>0</v>
      </c>
      <c r="P7" s="3">
        <v>1</v>
      </c>
      <c r="Q7" s="3">
        <v>9</v>
      </c>
      <c r="R7" s="3">
        <v>0</v>
      </c>
      <c r="S7" s="3">
        <v>0</v>
      </c>
      <c r="T7" s="3">
        <f t="shared" si="0"/>
        <v>25</v>
      </c>
      <c r="U7" s="3">
        <f t="shared" si="1"/>
        <v>0</v>
      </c>
      <c r="V7" s="3">
        <f t="shared" si="2"/>
        <v>1</v>
      </c>
      <c r="W7" s="19">
        <f t="shared" si="3"/>
        <v>0.96153846153846156</v>
      </c>
      <c r="X7" s="19">
        <f t="shared" si="4"/>
        <v>1</v>
      </c>
      <c r="Y7" s="19">
        <f t="shared" si="5"/>
        <v>0.98039215686274506</v>
      </c>
    </row>
    <row r="8" spans="1:27" s="10" customFormat="1" x14ac:dyDescent="0.2">
      <c r="A8" s="11">
        <v>9</v>
      </c>
      <c r="B8" s="9">
        <v>7</v>
      </c>
      <c r="C8" s="10">
        <v>4</v>
      </c>
      <c r="D8" s="3">
        <v>8</v>
      </c>
      <c r="E8" s="10">
        <v>7</v>
      </c>
      <c r="F8" s="10" t="s">
        <v>25</v>
      </c>
      <c r="G8" s="11" t="s">
        <v>26</v>
      </c>
      <c r="H8" s="9">
        <v>7</v>
      </c>
      <c r="I8" s="10">
        <v>0</v>
      </c>
      <c r="J8" s="10">
        <v>0</v>
      </c>
      <c r="K8" s="10">
        <v>4</v>
      </c>
      <c r="L8" s="10">
        <v>0</v>
      </c>
      <c r="M8" s="10">
        <v>0</v>
      </c>
      <c r="N8" s="10">
        <v>4</v>
      </c>
      <c r="O8" s="10">
        <v>4</v>
      </c>
      <c r="P8" s="10">
        <v>4</v>
      </c>
      <c r="Q8" s="10">
        <v>5</v>
      </c>
      <c r="R8" s="10">
        <v>2</v>
      </c>
      <c r="S8" s="10">
        <v>2</v>
      </c>
      <c r="T8" s="3">
        <f t="shared" si="0"/>
        <v>20</v>
      </c>
      <c r="U8" s="3">
        <f t="shared" si="1"/>
        <v>6</v>
      </c>
      <c r="V8" s="3">
        <f t="shared" si="2"/>
        <v>6</v>
      </c>
      <c r="W8" s="19">
        <f t="shared" si="3"/>
        <v>0.76923076923076927</v>
      </c>
      <c r="X8" s="19">
        <f t="shared" si="4"/>
        <v>0.76923076923076927</v>
      </c>
      <c r="Y8" s="19">
        <f t="shared" si="5"/>
        <v>0.76923076923076927</v>
      </c>
    </row>
    <row r="9" spans="1:27" x14ac:dyDescent="0.2">
      <c r="A9" s="5">
        <v>10</v>
      </c>
      <c r="B9" s="7">
        <v>10</v>
      </c>
      <c r="C9" s="3">
        <v>7</v>
      </c>
      <c r="D9" s="3">
        <v>2</v>
      </c>
      <c r="E9" s="3">
        <v>11</v>
      </c>
      <c r="F9" s="3" t="s">
        <v>27</v>
      </c>
      <c r="G9" s="5" t="s">
        <v>28</v>
      </c>
      <c r="H9" s="7">
        <v>10</v>
      </c>
      <c r="I9" s="3">
        <v>0</v>
      </c>
      <c r="J9" s="3">
        <v>0</v>
      </c>
      <c r="K9" s="3">
        <v>7</v>
      </c>
      <c r="L9" s="3">
        <v>0</v>
      </c>
      <c r="M9" s="3">
        <v>0</v>
      </c>
      <c r="N9" s="3">
        <v>2</v>
      </c>
      <c r="O9" s="3">
        <v>0</v>
      </c>
      <c r="P9" s="3">
        <v>0</v>
      </c>
      <c r="Q9" s="3">
        <v>9</v>
      </c>
      <c r="R9" s="3">
        <v>1</v>
      </c>
      <c r="S9" s="3">
        <v>1</v>
      </c>
      <c r="T9" s="3">
        <f t="shared" si="0"/>
        <v>28</v>
      </c>
      <c r="U9" s="3">
        <f t="shared" si="1"/>
        <v>1</v>
      </c>
      <c r="V9" s="3">
        <f t="shared" si="2"/>
        <v>1</v>
      </c>
      <c r="W9" s="19">
        <f t="shared" si="3"/>
        <v>0.96551724137931039</v>
      </c>
      <c r="X9" s="19">
        <f t="shared" si="4"/>
        <v>0.96551724137931039</v>
      </c>
      <c r="Y9" s="19">
        <f t="shared" si="5"/>
        <v>0.96551724137931039</v>
      </c>
    </row>
    <row r="10" spans="1:27" x14ac:dyDescent="0.2">
      <c r="A10" s="5">
        <v>11</v>
      </c>
      <c r="B10" s="7">
        <v>5</v>
      </c>
      <c r="C10" s="3">
        <v>2</v>
      </c>
      <c r="D10" s="3">
        <v>0</v>
      </c>
      <c r="E10" s="3">
        <v>10</v>
      </c>
      <c r="F10" s="3" t="s">
        <v>29</v>
      </c>
      <c r="G10" s="5" t="s">
        <v>30</v>
      </c>
      <c r="H10" s="7">
        <v>5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10</v>
      </c>
      <c r="R10" s="3">
        <v>0</v>
      </c>
      <c r="S10" s="3">
        <v>0</v>
      </c>
      <c r="T10" s="3">
        <f t="shared" si="0"/>
        <v>17</v>
      </c>
      <c r="U10" s="3">
        <f t="shared" si="1"/>
        <v>0</v>
      </c>
      <c r="V10" s="3">
        <f t="shared" si="2"/>
        <v>0</v>
      </c>
      <c r="W10" s="19">
        <f t="shared" si="3"/>
        <v>1</v>
      </c>
      <c r="X10" s="19">
        <f t="shared" si="4"/>
        <v>1</v>
      </c>
      <c r="Y10" s="19">
        <f t="shared" si="5"/>
        <v>1</v>
      </c>
    </row>
    <row r="11" spans="1:27" s="10" customFormat="1" x14ac:dyDescent="0.2">
      <c r="A11" s="11">
        <v>12</v>
      </c>
      <c r="B11" s="9">
        <v>6</v>
      </c>
      <c r="C11" s="10">
        <v>2</v>
      </c>
      <c r="D11" s="3">
        <v>4</v>
      </c>
      <c r="E11" s="10">
        <v>7</v>
      </c>
      <c r="F11" s="10" t="s">
        <v>31</v>
      </c>
      <c r="G11" s="11" t="s">
        <v>32</v>
      </c>
      <c r="H11" s="9">
        <v>6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2</v>
      </c>
      <c r="O11" s="10">
        <v>2</v>
      </c>
      <c r="P11" s="10">
        <v>0</v>
      </c>
      <c r="Q11" s="10">
        <v>6</v>
      </c>
      <c r="R11" s="10">
        <v>1</v>
      </c>
      <c r="S11" s="10">
        <v>1</v>
      </c>
      <c r="T11" s="3">
        <f t="shared" si="0"/>
        <v>16</v>
      </c>
      <c r="U11" s="3">
        <f t="shared" si="1"/>
        <v>3</v>
      </c>
      <c r="V11" s="3">
        <f t="shared" si="2"/>
        <v>1</v>
      </c>
      <c r="W11" s="19">
        <f t="shared" si="3"/>
        <v>0.94117647058823528</v>
      </c>
      <c r="X11" s="19">
        <f t="shared" si="4"/>
        <v>0.84210526315789469</v>
      </c>
      <c r="Y11" s="19">
        <f t="shared" si="5"/>
        <v>0.88888888888888884</v>
      </c>
    </row>
    <row r="12" spans="1:27" x14ac:dyDescent="0.2">
      <c r="A12" s="5">
        <v>14</v>
      </c>
      <c r="B12" s="7">
        <v>6</v>
      </c>
      <c r="C12" s="3">
        <v>2</v>
      </c>
      <c r="D12" s="3">
        <v>4</v>
      </c>
      <c r="E12" s="3">
        <v>4</v>
      </c>
      <c r="F12" s="3" t="s">
        <v>33</v>
      </c>
      <c r="G12" s="5" t="s">
        <v>34</v>
      </c>
      <c r="H12" s="7">
        <v>6</v>
      </c>
      <c r="I12" s="3">
        <v>0</v>
      </c>
      <c r="J12" s="3">
        <v>0</v>
      </c>
      <c r="K12" s="3">
        <v>2</v>
      </c>
      <c r="L12" s="3">
        <v>0</v>
      </c>
      <c r="M12" s="3">
        <v>0</v>
      </c>
      <c r="N12" s="3">
        <v>4</v>
      </c>
      <c r="O12" s="3">
        <v>0</v>
      </c>
      <c r="P12" s="3">
        <v>1</v>
      </c>
      <c r="Q12" s="3">
        <v>4</v>
      </c>
      <c r="R12" s="3">
        <v>0</v>
      </c>
      <c r="S12" s="3">
        <v>0</v>
      </c>
      <c r="T12" s="3">
        <f t="shared" si="0"/>
        <v>16</v>
      </c>
      <c r="U12" s="3">
        <f t="shared" si="1"/>
        <v>0</v>
      </c>
      <c r="V12" s="3">
        <f t="shared" si="2"/>
        <v>1</v>
      </c>
      <c r="W12" s="19">
        <f t="shared" si="3"/>
        <v>0.94117647058823528</v>
      </c>
      <c r="X12" s="19">
        <f t="shared" si="4"/>
        <v>1</v>
      </c>
      <c r="Y12" s="19">
        <f t="shared" si="5"/>
        <v>0.96969696969696972</v>
      </c>
    </row>
    <row r="13" spans="1:27" x14ac:dyDescent="0.2">
      <c r="A13" s="5">
        <v>16</v>
      </c>
      <c r="B13" s="7">
        <v>6</v>
      </c>
      <c r="C13" s="3">
        <v>2</v>
      </c>
      <c r="D13" s="3">
        <v>0</v>
      </c>
      <c r="E13" s="3">
        <v>6</v>
      </c>
      <c r="F13" s="3" t="s">
        <v>35</v>
      </c>
      <c r="G13" s="5" t="s">
        <v>36</v>
      </c>
      <c r="H13" s="7">
        <v>6</v>
      </c>
      <c r="I13" s="3">
        <v>0</v>
      </c>
      <c r="J13" s="3">
        <v>0</v>
      </c>
      <c r="K13" s="3">
        <v>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6</v>
      </c>
      <c r="R13" s="3">
        <v>0</v>
      </c>
      <c r="S13" s="3">
        <v>0</v>
      </c>
      <c r="T13" s="3">
        <f t="shared" si="0"/>
        <v>14</v>
      </c>
      <c r="U13" s="3">
        <f t="shared" si="1"/>
        <v>0</v>
      </c>
      <c r="V13" s="3">
        <f t="shared" si="2"/>
        <v>0</v>
      </c>
      <c r="W13" s="19">
        <f t="shared" si="3"/>
        <v>1</v>
      </c>
      <c r="X13" s="19">
        <f t="shared" si="4"/>
        <v>1</v>
      </c>
      <c r="Y13" s="19">
        <f t="shared" si="5"/>
        <v>1</v>
      </c>
    </row>
    <row r="14" spans="1:27" x14ac:dyDescent="0.2">
      <c r="A14" s="5">
        <v>17</v>
      </c>
      <c r="B14" s="7">
        <v>9</v>
      </c>
      <c r="C14" s="3">
        <v>2</v>
      </c>
      <c r="D14" s="3">
        <v>3</v>
      </c>
      <c r="E14" s="3">
        <v>7</v>
      </c>
      <c r="F14" s="3" t="s">
        <v>37</v>
      </c>
      <c r="G14" s="5" t="s">
        <v>38</v>
      </c>
      <c r="H14" s="7">
        <v>9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1</v>
      </c>
      <c r="O14" s="3">
        <v>1</v>
      </c>
      <c r="P14" s="3">
        <v>2</v>
      </c>
      <c r="Q14" s="3">
        <v>8</v>
      </c>
      <c r="R14" s="3">
        <v>1</v>
      </c>
      <c r="S14" s="3">
        <v>1</v>
      </c>
      <c r="T14" s="3">
        <f t="shared" si="0"/>
        <v>20</v>
      </c>
      <c r="U14" s="3">
        <f t="shared" si="1"/>
        <v>2</v>
      </c>
      <c r="V14" s="3">
        <f t="shared" si="2"/>
        <v>3</v>
      </c>
      <c r="W14" s="19">
        <f t="shared" si="3"/>
        <v>0.86956521739130432</v>
      </c>
      <c r="X14" s="19">
        <f t="shared" si="4"/>
        <v>0.90909090909090906</v>
      </c>
      <c r="Y14" s="19">
        <f t="shared" si="5"/>
        <v>0.88888888888888895</v>
      </c>
    </row>
    <row r="15" spans="1:27" x14ac:dyDescent="0.2">
      <c r="A15" s="5">
        <v>19</v>
      </c>
      <c r="B15" s="7">
        <v>6</v>
      </c>
      <c r="C15" s="3">
        <v>4</v>
      </c>
      <c r="D15" s="3">
        <v>4</v>
      </c>
      <c r="E15" s="3">
        <v>10</v>
      </c>
      <c r="F15" s="3" t="s">
        <v>39</v>
      </c>
      <c r="G15" s="5" t="s">
        <v>40</v>
      </c>
      <c r="H15" s="7">
        <v>6</v>
      </c>
      <c r="I15" s="3">
        <v>0</v>
      </c>
      <c r="J15" s="3">
        <v>0</v>
      </c>
      <c r="K15" s="3">
        <v>4</v>
      </c>
      <c r="L15" s="3">
        <v>0</v>
      </c>
      <c r="M15" s="3">
        <v>0</v>
      </c>
      <c r="N15" s="3">
        <v>4</v>
      </c>
      <c r="O15" s="3">
        <v>0</v>
      </c>
      <c r="P15" s="3">
        <v>0</v>
      </c>
      <c r="Q15" s="3">
        <v>7</v>
      </c>
      <c r="R15" s="3">
        <v>1</v>
      </c>
      <c r="S15" s="3">
        <v>0</v>
      </c>
      <c r="T15" s="3">
        <f t="shared" si="0"/>
        <v>21</v>
      </c>
      <c r="U15" s="3">
        <f t="shared" si="1"/>
        <v>1</v>
      </c>
      <c r="V15" s="3">
        <f t="shared" si="2"/>
        <v>0</v>
      </c>
      <c r="W15" s="19">
        <f t="shared" si="3"/>
        <v>1</v>
      </c>
      <c r="X15" s="19">
        <f t="shared" si="4"/>
        <v>0.95454545454545459</v>
      </c>
      <c r="Y15" s="19">
        <f t="shared" si="5"/>
        <v>0.9767441860465117</v>
      </c>
    </row>
    <row r="16" spans="1:27" x14ac:dyDescent="0.2">
      <c r="A16" s="5">
        <v>20</v>
      </c>
      <c r="B16" s="7">
        <v>7</v>
      </c>
      <c r="C16" s="3">
        <v>3</v>
      </c>
      <c r="D16" s="3">
        <v>2</v>
      </c>
      <c r="E16" s="3">
        <v>7</v>
      </c>
      <c r="F16" s="3" t="s">
        <v>41</v>
      </c>
      <c r="G16" s="5" t="s">
        <v>42</v>
      </c>
      <c r="H16" s="7">
        <v>7</v>
      </c>
      <c r="I16" s="3">
        <v>0</v>
      </c>
      <c r="J16" s="3">
        <v>0</v>
      </c>
      <c r="K16" s="3">
        <v>3</v>
      </c>
      <c r="L16" s="3">
        <v>0</v>
      </c>
      <c r="M16" s="3">
        <v>0</v>
      </c>
      <c r="N16" s="3">
        <v>2</v>
      </c>
      <c r="O16" s="3">
        <v>0</v>
      </c>
      <c r="P16" s="3">
        <v>0</v>
      </c>
      <c r="Q16" s="3">
        <v>7</v>
      </c>
      <c r="R16" s="3">
        <v>0</v>
      </c>
      <c r="S16" s="3">
        <v>0</v>
      </c>
      <c r="T16" s="3">
        <f t="shared" si="0"/>
        <v>19</v>
      </c>
      <c r="U16" s="3">
        <f t="shared" si="1"/>
        <v>0</v>
      </c>
      <c r="V16" s="3">
        <f t="shared" si="2"/>
        <v>0</v>
      </c>
      <c r="W16" s="19">
        <f t="shared" si="3"/>
        <v>1</v>
      </c>
      <c r="X16" s="19">
        <f t="shared" si="4"/>
        <v>1</v>
      </c>
      <c r="Y16" s="19">
        <f t="shared" si="5"/>
        <v>1</v>
      </c>
    </row>
    <row r="17" spans="1:25" x14ac:dyDescent="0.2">
      <c r="A17" s="5">
        <v>21</v>
      </c>
      <c r="B17" s="7">
        <v>5</v>
      </c>
      <c r="C17" s="3">
        <v>2</v>
      </c>
      <c r="D17" s="3">
        <v>1</v>
      </c>
      <c r="E17" s="3">
        <v>5</v>
      </c>
      <c r="F17" s="3" t="s">
        <v>43</v>
      </c>
      <c r="G17" s="5" t="s">
        <v>44</v>
      </c>
      <c r="H17" s="7">
        <v>5</v>
      </c>
      <c r="I17" s="3">
        <v>0</v>
      </c>
      <c r="J17" s="3">
        <v>0</v>
      </c>
      <c r="K17" s="3">
        <v>2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5</v>
      </c>
      <c r="R17" s="3">
        <v>0</v>
      </c>
      <c r="S17" s="3">
        <v>0</v>
      </c>
      <c r="T17" s="3">
        <f t="shared" si="0"/>
        <v>12</v>
      </c>
      <c r="U17" s="3">
        <f t="shared" si="1"/>
        <v>1</v>
      </c>
      <c r="V17" s="3">
        <f t="shared" si="2"/>
        <v>1</v>
      </c>
      <c r="W17" s="19">
        <f t="shared" si="3"/>
        <v>0.92307692307692313</v>
      </c>
      <c r="X17" s="19">
        <f t="shared" si="4"/>
        <v>0.92307692307692313</v>
      </c>
      <c r="Y17" s="19">
        <f t="shared" si="5"/>
        <v>0.92307692307692313</v>
      </c>
    </row>
    <row r="18" spans="1:25" x14ac:dyDescent="0.2">
      <c r="A18" s="5">
        <v>22</v>
      </c>
      <c r="B18" s="7">
        <v>6</v>
      </c>
      <c r="C18" s="3">
        <v>3</v>
      </c>
      <c r="D18" s="3">
        <v>2</v>
      </c>
      <c r="E18" s="3">
        <v>5</v>
      </c>
      <c r="F18" s="3" t="s">
        <v>45</v>
      </c>
      <c r="G18" s="5" t="s">
        <v>46</v>
      </c>
      <c r="H18" s="7">
        <v>6</v>
      </c>
      <c r="I18" s="3">
        <v>0</v>
      </c>
      <c r="J18" s="3">
        <v>0</v>
      </c>
      <c r="K18" s="3">
        <v>3</v>
      </c>
      <c r="L18" s="3">
        <v>0</v>
      </c>
      <c r="M18" s="3">
        <v>0</v>
      </c>
      <c r="N18" s="3">
        <v>2</v>
      </c>
      <c r="O18" s="3">
        <v>0</v>
      </c>
      <c r="P18" s="3">
        <v>0</v>
      </c>
      <c r="Q18" s="3">
        <v>5</v>
      </c>
      <c r="R18" s="3">
        <v>0</v>
      </c>
      <c r="S18" s="3">
        <v>0</v>
      </c>
      <c r="T18" s="3">
        <f t="shared" si="0"/>
        <v>16</v>
      </c>
      <c r="U18" s="3">
        <f t="shared" si="1"/>
        <v>0</v>
      </c>
      <c r="V18" s="3">
        <f t="shared" si="2"/>
        <v>0</v>
      </c>
      <c r="W18" s="19">
        <f t="shared" si="3"/>
        <v>1</v>
      </c>
      <c r="X18" s="19">
        <f t="shared" si="4"/>
        <v>1</v>
      </c>
      <c r="Y18" s="19">
        <f t="shared" si="5"/>
        <v>1</v>
      </c>
    </row>
    <row r="19" spans="1:25" s="10" customFormat="1" x14ac:dyDescent="0.2">
      <c r="A19" s="11">
        <v>23</v>
      </c>
      <c r="B19" s="9">
        <v>5</v>
      </c>
      <c r="C19" s="10">
        <v>2</v>
      </c>
      <c r="D19" s="3">
        <v>6</v>
      </c>
      <c r="E19" s="10">
        <v>8</v>
      </c>
      <c r="F19" s="10" t="s">
        <v>47</v>
      </c>
      <c r="G19" s="11" t="s">
        <v>48</v>
      </c>
      <c r="H19" s="9">
        <v>5</v>
      </c>
      <c r="I19" s="10">
        <v>0</v>
      </c>
      <c r="J19" s="10">
        <v>0</v>
      </c>
      <c r="K19" s="10">
        <v>2</v>
      </c>
      <c r="L19" s="10">
        <v>0</v>
      </c>
      <c r="M19" s="10">
        <v>0</v>
      </c>
      <c r="N19" s="10">
        <v>3</v>
      </c>
      <c r="O19" s="10">
        <v>0</v>
      </c>
      <c r="P19" s="10">
        <v>3</v>
      </c>
      <c r="Q19" s="10">
        <v>8</v>
      </c>
      <c r="R19" s="10">
        <v>1</v>
      </c>
      <c r="S19" s="10">
        <v>0</v>
      </c>
      <c r="T19" s="3">
        <f t="shared" si="0"/>
        <v>18</v>
      </c>
      <c r="U19" s="3">
        <f t="shared" si="1"/>
        <v>1</v>
      </c>
      <c r="V19" s="3">
        <f t="shared" si="2"/>
        <v>3</v>
      </c>
      <c r="W19" s="19">
        <f t="shared" si="3"/>
        <v>0.8571428571428571</v>
      </c>
      <c r="X19" s="19">
        <f t="shared" si="4"/>
        <v>0.94736842105263153</v>
      </c>
      <c r="Y19" s="19">
        <f t="shared" si="5"/>
        <v>0.9</v>
      </c>
    </row>
    <row r="20" spans="1:25" x14ac:dyDescent="0.2">
      <c r="A20" s="5">
        <v>27</v>
      </c>
      <c r="B20" s="7">
        <v>16</v>
      </c>
      <c r="C20" s="3">
        <v>5</v>
      </c>
      <c r="D20" s="3">
        <v>3</v>
      </c>
      <c r="E20" s="3">
        <v>18</v>
      </c>
      <c r="F20" s="3" t="s">
        <v>49</v>
      </c>
      <c r="G20" s="5" t="s">
        <v>50</v>
      </c>
      <c r="H20" s="7">
        <v>16</v>
      </c>
      <c r="I20" s="3">
        <v>0</v>
      </c>
      <c r="J20" s="3">
        <v>0</v>
      </c>
      <c r="K20" s="3">
        <v>5</v>
      </c>
      <c r="L20" s="3">
        <v>0</v>
      </c>
      <c r="M20" s="3">
        <v>0</v>
      </c>
      <c r="N20" s="3">
        <v>0</v>
      </c>
      <c r="O20" s="3">
        <v>3</v>
      </c>
      <c r="P20" s="3">
        <v>3</v>
      </c>
      <c r="Q20" s="3">
        <v>15</v>
      </c>
      <c r="R20" s="3">
        <v>1</v>
      </c>
      <c r="S20" s="3">
        <v>0</v>
      </c>
      <c r="T20" s="3">
        <f t="shared" si="0"/>
        <v>36</v>
      </c>
      <c r="U20" s="3">
        <f t="shared" si="1"/>
        <v>4</v>
      </c>
      <c r="V20" s="3">
        <f t="shared" si="2"/>
        <v>3</v>
      </c>
      <c r="W20" s="19">
        <f t="shared" si="3"/>
        <v>0.92307692307692313</v>
      </c>
      <c r="X20" s="19">
        <f t="shared" si="4"/>
        <v>0.9</v>
      </c>
      <c r="Y20" s="19">
        <f t="shared" si="5"/>
        <v>0.91139240506329111</v>
      </c>
    </row>
    <row r="21" spans="1:25" x14ac:dyDescent="0.2">
      <c r="A21" s="5">
        <v>28</v>
      </c>
      <c r="B21" s="7">
        <v>7</v>
      </c>
      <c r="C21" s="3">
        <v>3</v>
      </c>
      <c r="D21" s="3">
        <v>5</v>
      </c>
      <c r="E21" s="3">
        <v>7</v>
      </c>
      <c r="F21" s="3" t="s">
        <v>51</v>
      </c>
      <c r="G21" s="5" t="s">
        <v>52</v>
      </c>
      <c r="H21" s="7">
        <v>7</v>
      </c>
      <c r="I21" s="3">
        <v>0</v>
      </c>
      <c r="J21" s="3">
        <v>0</v>
      </c>
      <c r="K21" s="3">
        <v>3</v>
      </c>
      <c r="L21" s="3">
        <v>0</v>
      </c>
      <c r="M21" s="3">
        <v>0</v>
      </c>
      <c r="N21" s="3">
        <v>4</v>
      </c>
      <c r="O21" s="3">
        <v>1</v>
      </c>
      <c r="P21" s="3">
        <v>0</v>
      </c>
      <c r="Q21" s="3">
        <v>6</v>
      </c>
      <c r="R21" s="3">
        <v>0</v>
      </c>
      <c r="S21" s="3">
        <v>0</v>
      </c>
      <c r="T21" s="3">
        <f t="shared" si="0"/>
        <v>20</v>
      </c>
      <c r="U21" s="3">
        <f t="shared" si="1"/>
        <v>1</v>
      </c>
      <c r="V21" s="3">
        <f t="shared" si="2"/>
        <v>0</v>
      </c>
      <c r="W21" s="19">
        <f t="shared" si="3"/>
        <v>1</v>
      </c>
      <c r="X21" s="19">
        <f t="shared" si="4"/>
        <v>0.95238095238095233</v>
      </c>
      <c r="Y21" s="19">
        <f t="shared" si="5"/>
        <v>0.97560975609756095</v>
      </c>
    </row>
    <row r="23" spans="1:25" x14ac:dyDescent="0.2">
      <c r="S23" s="3" t="s">
        <v>66</v>
      </c>
      <c r="T23" s="3">
        <f>SUM(T3:T21)</f>
        <v>366</v>
      </c>
      <c r="U23" s="3">
        <f t="shared" ref="U23:V23" si="6">SUM(U3:U21)</f>
        <v>22</v>
      </c>
      <c r="V23" s="3">
        <f t="shared" si="6"/>
        <v>23</v>
      </c>
      <c r="W23" s="19">
        <f>T23/(T23+V23)</f>
        <v>0.94087403598971719</v>
      </c>
      <c r="X23" s="19">
        <f>T23/(T23+U23)</f>
        <v>0.94329896907216493</v>
      </c>
      <c r="Y23" s="19">
        <f t="shared" si="5"/>
        <v>0.94208494208494209</v>
      </c>
    </row>
  </sheetData>
  <mergeCells count="2">
    <mergeCell ref="B1:G1"/>
    <mergeCell ref="H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Ruthvik Goggi</dc:creator>
  <cp:lastModifiedBy>Melo, Walcelio L.</cp:lastModifiedBy>
  <dcterms:created xsi:type="dcterms:W3CDTF">2026-04-25T15:31:35Z</dcterms:created>
  <dcterms:modified xsi:type="dcterms:W3CDTF">2026-04-26T22:16:38Z</dcterms:modified>
</cp:coreProperties>
</file>